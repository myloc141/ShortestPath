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n\PycharmProjects\ShortestPath\WS\workstream02\"/>
    </mc:Choice>
  </mc:AlternateContent>
  <xr:revisionPtr revIDLastSave="0" documentId="13_ncr:1_{0096F55E-5877-47C0-9CFD-F685A54AA6C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CSP" sheetId="1" r:id="rId1"/>
    <sheet name="Độ nhạy" sheetId="2" r:id="rId2"/>
  </sheets>
  <definedNames>
    <definedName name="solver_adj" localSheetId="0" hidden="1">RCSP!$F$9:$F$32</definedName>
    <definedName name="solver_eng" localSheetId="0" hidden="1">2</definedName>
    <definedName name="solver_lhs1" localSheetId="0" hidden="1">RCSP!$F$9:$F$32</definedName>
    <definedName name="solver_lhs2" localSheetId="0" hidden="1">RCSP!$M$9:$M$15</definedName>
    <definedName name="solver_lhs3" localSheetId="0" hidden="1">RCSP!$E$4</definedName>
    <definedName name="solver_neg" localSheetId="0" hidden="1">1</definedName>
    <definedName name="solver_num" localSheetId="0" hidden="1">3</definedName>
    <definedName name="solver_opt" localSheetId="0" hidden="1">RCSP!$E$3</definedName>
    <definedName name="solver_rel1" localSheetId="0" hidden="1">5</definedName>
    <definedName name="solver_rel2" localSheetId="0" hidden="1">2</definedName>
    <definedName name="solver_rel3" localSheetId="0" hidden="1">1</definedName>
    <definedName name="solver_rhs1" localSheetId="0" hidden="1">"binary"</definedName>
    <definedName name="solver_rhs2" localSheetId="0" hidden="1">RCSP!$N$9:$N$15</definedName>
    <definedName name="solver_rhs3" localSheetId="0" hidden="1">RCSP!$B$5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K21" i="1"/>
  <c r="K22" i="1" s="1"/>
  <c r="K23" i="1" s="1"/>
  <c r="K24" i="1" s="1"/>
  <c r="K25" i="1" s="1"/>
  <c r="K26" i="1" s="1"/>
  <c r="K27" i="1" s="1"/>
  <c r="H21" i="1"/>
  <c r="G21" i="1"/>
  <c r="H20" i="1"/>
  <c r="G20" i="1"/>
  <c r="H19" i="1"/>
  <c r="G19" i="1"/>
  <c r="M18" i="1"/>
  <c r="H18" i="1"/>
  <c r="G18" i="1"/>
  <c r="H17" i="1"/>
  <c r="G17" i="1"/>
  <c r="H16" i="1"/>
  <c r="G16" i="1"/>
  <c r="N15" i="1"/>
  <c r="L15" i="1"/>
  <c r="K15" i="1"/>
  <c r="M15" i="1" s="1"/>
  <c r="H15" i="1"/>
  <c r="G15" i="1"/>
  <c r="N14" i="1"/>
  <c r="L14" i="1"/>
  <c r="K14" i="1"/>
  <c r="M14" i="1" s="1"/>
  <c r="H14" i="1"/>
  <c r="G14" i="1"/>
  <c r="N13" i="1"/>
  <c r="L13" i="1"/>
  <c r="K13" i="1"/>
  <c r="H13" i="1"/>
  <c r="G13" i="1"/>
  <c r="N12" i="1"/>
  <c r="L12" i="1"/>
  <c r="K12" i="1"/>
  <c r="H12" i="1"/>
  <c r="G12" i="1"/>
  <c r="N11" i="1"/>
  <c r="L11" i="1"/>
  <c r="K11" i="1"/>
  <c r="M11" i="1" s="1"/>
  <c r="H11" i="1"/>
  <c r="G11" i="1"/>
  <c r="N10" i="1"/>
  <c r="L10" i="1"/>
  <c r="K10" i="1"/>
  <c r="H10" i="1"/>
  <c r="G10" i="1"/>
  <c r="N9" i="1"/>
  <c r="L9" i="1"/>
  <c r="K9" i="1"/>
  <c r="M9" i="1" s="1"/>
  <c r="H9" i="1"/>
  <c r="G9" i="1"/>
  <c r="E4" i="1"/>
  <c r="K18" i="1" s="1"/>
  <c r="E3" i="1"/>
  <c r="M10" i="1" l="1"/>
  <c r="M12" i="1"/>
  <c r="M13" i="1"/>
  <c r="E5" i="1"/>
</calcChain>
</file>

<file path=xl/sharedStrings.xml><?xml version="1.0" encoding="utf-8"?>
<sst xmlns="http://schemas.openxmlformats.org/spreadsheetml/2006/main" count="138" uniqueCount="65">
  <si>
    <t>Bài toán đường đi ngắn nhất có ràng buộc thời gian (RCSP) – Mạng Seervada</t>
  </si>
  <si>
    <t>Nút nguồn</t>
  </si>
  <si>
    <t>O</t>
  </si>
  <si>
    <t>Tổng khoảng cách</t>
  </si>
  <si>
    <t>Nút đích</t>
  </si>
  <si>
    <t>T</t>
  </si>
  <si>
    <t>Tổng thời gian</t>
  </si>
  <si>
    <t>T_max (phút)</t>
  </si>
  <si>
    <t>Đường đi</t>
  </si>
  <si>
    <t>Cung</t>
  </si>
  <si>
    <t>Từ</t>
  </si>
  <si>
    <t>Đến</t>
  </si>
  <si>
    <t>Khoảng cách</t>
  </si>
  <si>
    <t>Thời gian</t>
  </si>
  <si>
    <t>x (0/1)</t>
  </si>
  <si>
    <t>Khoảng cách × x</t>
  </si>
  <si>
    <t>Thời gian × x</t>
  </si>
  <si>
    <t>Nút</t>
  </si>
  <si>
    <t>Ra</t>
  </si>
  <si>
    <t>Vào</t>
  </si>
  <si>
    <t>Ra − Vào</t>
  </si>
  <si>
    <t>Vế phải</t>
  </si>
  <si>
    <t>O→A</t>
  </si>
  <si>
    <t>A</t>
  </si>
  <si>
    <t>A→O</t>
  </si>
  <si>
    <t>O→B</t>
  </si>
  <si>
    <t>B</t>
  </si>
  <si>
    <t>B→O</t>
  </si>
  <si>
    <t>C</t>
  </si>
  <si>
    <t>O→C</t>
  </si>
  <si>
    <t>D</t>
  </si>
  <si>
    <t>C→O</t>
  </si>
  <si>
    <t>E</t>
  </si>
  <si>
    <t>A→B</t>
  </si>
  <si>
    <t>B→A</t>
  </si>
  <si>
    <t>A→D</t>
  </si>
  <si>
    <t>Ràng buộc thời gian</t>
  </si>
  <si>
    <t>D→A</t>
  </si>
  <si>
    <t>≤</t>
  </si>
  <si>
    <t>B→C</t>
  </si>
  <si>
    <t>C→B</t>
  </si>
  <si>
    <t>Thứ tự</t>
  </si>
  <si>
    <t>B→D</t>
  </si>
  <si>
    <t>D→B</t>
  </si>
  <si>
    <t>B→E</t>
  </si>
  <si>
    <t>E→B</t>
  </si>
  <si>
    <t>C→E</t>
  </si>
  <si>
    <t>E→C</t>
  </si>
  <si>
    <t>D→E</t>
  </si>
  <si>
    <t>E→D</t>
  </si>
  <si>
    <t>D→T</t>
  </si>
  <si>
    <t>T→D</t>
  </si>
  <si>
    <t>E→T</t>
  </si>
  <si>
    <t>T→E</t>
  </si>
  <si>
    <t>T_max</t>
  </si>
  <si>
    <t>Trạng thái</t>
  </si>
  <si>
    <t>Đường đi tối ưu</t>
  </si>
  <si>
    <t>Route thay đổi</t>
  </si>
  <si>
    <t>Không khả thi</t>
  </si>
  <si>
    <t>Không</t>
  </si>
  <si>
    <t>Tối ưu</t>
  </si>
  <si>
    <t>O-A-D-T</t>
  </si>
  <si>
    <t>Có</t>
  </si>
  <si>
    <t>O-A-B-E-D-T</t>
  </si>
  <si>
    <t>Không ràng buộc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</si>
</sst>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2" borderId="0" xfId="0" applyFill="1"/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/>
  </sheetViews>
  <sheetFormatPr defaultRowHeight="14.4" x14ac:dyDescent="0.3"/>
  <cols>
    <col min="1" max="1" width="16" customWidth="1"/>
    <col min="2" max="3" width="15" customWidth="1"/>
    <col min="4" max="4" width="18" customWidth="1"/>
    <col min="5" max="5" width="14" customWidth="1"/>
    <col min="6" max="8" width="15" customWidth="1"/>
    <col min="10" max="10" width="20" customWidth="1"/>
    <col min="11" max="14" width="11" customWidth="1"/>
  </cols>
  <sheetData>
    <row r="1" spans="1:14" ht="17.399999999999999" customHeight="1" x14ac:dyDescent="0.35">
      <c r="A1" s="1" t="s">
        <v>0</v>
      </c>
    </row>
    <row r="3" spans="1:14" x14ac:dyDescent="0.3">
      <c r="A3" s="2" t="s">
        <v>1</v>
      </c>
      <c r="B3" t="s">
        <v>2</v>
      </c>
      <c r="D3" s="2" t="s">
        <v>3</v>
      </c>
      <c r="E3" s="3">
        <f>SUMPRODUCT(D9:D32,F9:F32)</f>
        <v>14</v>
      </c>
    </row>
    <row r="4" spans="1:14" x14ac:dyDescent="0.3">
      <c r="A4" s="2" t="s">
        <v>4</v>
      </c>
      <c r="B4" t="s">
        <v>5</v>
      </c>
      <c r="D4" s="2" t="s">
        <v>6</v>
      </c>
      <c r="E4">
        <f>SUMPRODUCT(E9:E32,F9:F32)</f>
        <v>18</v>
      </c>
    </row>
    <row r="5" spans="1:14" x14ac:dyDescent="0.3">
      <c r="A5" s="2" t="s">
        <v>7</v>
      </c>
      <c r="B5" s="4">
        <v>18</v>
      </c>
      <c r="D5" s="2" t="s">
        <v>8</v>
      </c>
      <c r="E5" t="str">
        <f>IF(E3=0,"",K21&amp;IF(K22="","","-"&amp;K22)&amp;IF(K23="","","-"&amp;K23)&amp;IF(K24="","","-"&amp;K24)&amp;IF(K25="","","-"&amp;K25)&amp;IF(K26="","","-"&amp;K26)&amp;IF(K27="","","-"&amp;K27))</f>
        <v>O-A-D-T</v>
      </c>
    </row>
    <row r="8" spans="1:14" x14ac:dyDescent="0.3">
      <c r="A8" s="5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5" t="s">
        <v>16</v>
      </c>
      <c r="J8" s="5" t="s">
        <v>17</v>
      </c>
      <c r="K8" s="5" t="s">
        <v>18</v>
      </c>
      <c r="L8" s="5" t="s">
        <v>19</v>
      </c>
      <c r="M8" s="5" t="s">
        <v>20</v>
      </c>
      <c r="N8" s="5" t="s">
        <v>21</v>
      </c>
    </row>
    <row r="9" spans="1:14" x14ac:dyDescent="0.3">
      <c r="A9" s="6" t="s">
        <v>22</v>
      </c>
      <c r="B9" s="6" t="s">
        <v>2</v>
      </c>
      <c r="C9" s="6" t="s">
        <v>23</v>
      </c>
      <c r="D9" s="6">
        <v>2</v>
      </c>
      <c r="E9" s="6">
        <v>4</v>
      </c>
      <c r="F9" s="7">
        <v>1</v>
      </c>
      <c r="G9" s="6">
        <f t="shared" ref="G9:G32" si="0">D9*F9</f>
        <v>2</v>
      </c>
      <c r="H9" s="6">
        <f t="shared" ref="H9:H32" si="1">E9*F9</f>
        <v>4</v>
      </c>
      <c r="J9" s="6" t="s">
        <v>2</v>
      </c>
      <c r="K9" s="6">
        <f t="shared" ref="K9:K15" si="2">SUMIF($B$9:$B$32,J9,$F$9:$F$32)</f>
        <v>1</v>
      </c>
      <c r="L9" s="6">
        <f t="shared" ref="L9:L15" si="3">SUMIF($C$9:$C$32,J9,$F$9:$F$32)</f>
        <v>0</v>
      </c>
      <c r="M9" s="6">
        <f t="shared" ref="M9:M15" si="4">K9-L9</f>
        <v>1</v>
      </c>
      <c r="N9" s="6">
        <f t="shared" ref="N9:N15" si="5">IF(J9=$B$3,1,IF(J9=$B$4,-1,0))</f>
        <v>1</v>
      </c>
    </row>
    <row r="10" spans="1:14" x14ac:dyDescent="0.3">
      <c r="A10" s="6" t="s">
        <v>24</v>
      </c>
      <c r="B10" s="6" t="s">
        <v>23</v>
      </c>
      <c r="C10" s="6" t="s">
        <v>2</v>
      </c>
      <c r="D10" s="6">
        <v>2</v>
      </c>
      <c r="E10" s="6">
        <v>4</v>
      </c>
      <c r="F10" s="7">
        <v>0</v>
      </c>
      <c r="G10" s="6">
        <f t="shared" si="0"/>
        <v>0</v>
      </c>
      <c r="H10" s="6">
        <f t="shared" si="1"/>
        <v>0</v>
      </c>
      <c r="J10" s="6" t="s">
        <v>23</v>
      </c>
      <c r="K10" s="6">
        <f t="shared" si="2"/>
        <v>1</v>
      </c>
      <c r="L10" s="6">
        <f t="shared" si="3"/>
        <v>1</v>
      </c>
      <c r="M10" s="6">
        <f t="shared" si="4"/>
        <v>0</v>
      </c>
      <c r="N10" s="6">
        <f t="shared" si="5"/>
        <v>0</v>
      </c>
    </row>
    <row r="11" spans="1:14" x14ac:dyDescent="0.3">
      <c r="A11" s="6" t="s">
        <v>25</v>
      </c>
      <c r="B11" s="6" t="s">
        <v>2</v>
      </c>
      <c r="C11" s="6" t="s">
        <v>26</v>
      </c>
      <c r="D11" s="6">
        <v>5</v>
      </c>
      <c r="E11" s="6">
        <v>6</v>
      </c>
      <c r="F11" s="7">
        <v>0</v>
      </c>
      <c r="G11" s="6">
        <f t="shared" si="0"/>
        <v>0</v>
      </c>
      <c r="H11" s="6">
        <f t="shared" si="1"/>
        <v>0</v>
      </c>
      <c r="J11" s="6" t="s">
        <v>26</v>
      </c>
      <c r="K11" s="6">
        <f t="shared" si="2"/>
        <v>0</v>
      </c>
      <c r="L11" s="6">
        <f t="shared" si="3"/>
        <v>0</v>
      </c>
      <c r="M11" s="6">
        <f t="shared" si="4"/>
        <v>0</v>
      </c>
      <c r="N11" s="6">
        <f t="shared" si="5"/>
        <v>0</v>
      </c>
    </row>
    <row r="12" spans="1:14" x14ac:dyDescent="0.3">
      <c r="A12" s="6" t="s">
        <v>27</v>
      </c>
      <c r="B12" s="6" t="s">
        <v>26</v>
      </c>
      <c r="C12" s="6" t="s">
        <v>2</v>
      </c>
      <c r="D12" s="6">
        <v>5</v>
      </c>
      <c r="E12" s="6">
        <v>6</v>
      </c>
      <c r="F12" s="7">
        <v>0</v>
      </c>
      <c r="G12" s="6">
        <f t="shared" si="0"/>
        <v>0</v>
      </c>
      <c r="H12" s="6">
        <f t="shared" si="1"/>
        <v>0</v>
      </c>
      <c r="J12" s="6" t="s">
        <v>28</v>
      </c>
      <c r="K12" s="6">
        <f t="shared" si="2"/>
        <v>0</v>
      </c>
      <c r="L12" s="6">
        <f t="shared" si="3"/>
        <v>0</v>
      </c>
      <c r="M12" s="6">
        <f t="shared" si="4"/>
        <v>0</v>
      </c>
      <c r="N12" s="6">
        <f t="shared" si="5"/>
        <v>0</v>
      </c>
    </row>
    <row r="13" spans="1:14" x14ac:dyDescent="0.3">
      <c r="A13" s="6" t="s">
        <v>29</v>
      </c>
      <c r="B13" s="6" t="s">
        <v>2</v>
      </c>
      <c r="C13" s="6" t="s">
        <v>28</v>
      </c>
      <c r="D13" s="6">
        <v>4</v>
      </c>
      <c r="E13" s="6">
        <v>5</v>
      </c>
      <c r="F13" s="7">
        <v>0</v>
      </c>
      <c r="G13" s="6">
        <f t="shared" si="0"/>
        <v>0</v>
      </c>
      <c r="H13" s="6">
        <f t="shared" si="1"/>
        <v>0</v>
      </c>
      <c r="J13" s="6" t="s">
        <v>30</v>
      </c>
      <c r="K13" s="6">
        <f t="shared" si="2"/>
        <v>1</v>
      </c>
      <c r="L13" s="6">
        <f t="shared" si="3"/>
        <v>1</v>
      </c>
      <c r="M13" s="6">
        <f t="shared" si="4"/>
        <v>0</v>
      </c>
      <c r="N13" s="6">
        <f t="shared" si="5"/>
        <v>0</v>
      </c>
    </row>
    <row r="14" spans="1:14" x14ac:dyDescent="0.3">
      <c r="A14" s="6" t="s">
        <v>31</v>
      </c>
      <c r="B14" s="6" t="s">
        <v>28</v>
      </c>
      <c r="C14" s="6" t="s">
        <v>2</v>
      </c>
      <c r="D14" s="6">
        <v>4</v>
      </c>
      <c r="E14" s="6">
        <v>5</v>
      </c>
      <c r="F14" s="7">
        <v>0</v>
      </c>
      <c r="G14" s="6">
        <f t="shared" si="0"/>
        <v>0</v>
      </c>
      <c r="H14" s="6">
        <f t="shared" si="1"/>
        <v>0</v>
      </c>
      <c r="J14" s="6" t="s">
        <v>32</v>
      </c>
      <c r="K14" s="6">
        <f t="shared" si="2"/>
        <v>0</v>
      </c>
      <c r="L14" s="6">
        <f t="shared" si="3"/>
        <v>0</v>
      </c>
      <c r="M14" s="6">
        <f t="shared" si="4"/>
        <v>0</v>
      </c>
      <c r="N14" s="6">
        <f t="shared" si="5"/>
        <v>0</v>
      </c>
    </row>
    <row r="15" spans="1:14" x14ac:dyDescent="0.3">
      <c r="A15" s="6" t="s">
        <v>33</v>
      </c>
      <c r="B15" s="6" t="s">
        <v>23</v>
      </c>
      <c r="C15" s="6" t="s">
        <v>26</v>
      </c>
      <c r="D15" s="6">
        <v>2</v>
      </c>
      <c r="E15" s="6">
        <v>3</v>
      </c>
      <c r="F15" s="7">
        <v>0</v>
      </c>
      <c r="G15" s="6">
        <f t="shared" si="0"/>
        <v>0</v>
      </c>
      <c r="H15" s="6">
        <f t="shared" si="1"/>
        <v>0</v>
      </c>
      <c r="J15" s="6" t="s">
        <v>5</v>
      </c>
      <c r="K15" s="6">
        <f t="shared" si="2"/>
        <v>0</v>
      </c>
      <c r="L15" s="6">
        <f t="shared" si="3"/>
        <v>1</v>
      </c>
      <c r="M15" s="6">
        <f t="shared" si="4"/>
        <v>-1</v>
      </c>
      <c r="N15" s="6">
        <f t="shared" si="5"/>
        <v>-1</v>
      </c>
    </row>
    <row r="16" spans="1:14" x14ac:dyDescent="0.3">
      <c r="A16" s="6" t="s">
        <v>34</v>
      </c>
      <c r="B16" s="6" t="s">
        <v>26</v>
      </c>
      <c r="C16" s="6" t="s">
        <v>23</v>
      </c>
      <c r="D16" s="6">
        <v>2</v>
      </c>
      <c r="E16" s="6">
        <v>3</v>
      </c>
      <c r="F16" s="7">
        <v>0</v>
      </c>
      <c r="G16" s="6">
        <f t="shared" si="0"/>
        <v>0</v>
      </c>
      <c r="H16" s="6">
        <f t="shared" si="1"/>
        <v>0</v>
      </c>
    </row>
    <row r="17" spans="1:13" x14ac:dyDescent="0.3">
      <c r="A17" s="6" t="s">
        <v>35</v>
      </c>
      <c r="B17" s="6" t="s">
        <v>23</v>
      </c>
      <c r="C17" s="6" t="s">
        <v>30</v>
      </c>
      <c r="D17" s="6">
        <v>7</v>
      </c>
      <c r="E17" s="6">
        <v>8</v>
      </c>
      <c r="F17" s="7">
        <v>1</v>
      </c>
      <c r="G17" s="6">
        <f t="shared" si="0"/>
        <v>7</v>
      </c>
      <c r="H17" s="6">
        <f t="shared" si="1"/>
        <v>8</v>
      </c>
      <c r="J17" s="2" t="s">
        <v>36</v>
      </c>
    </row>
    <row r="18" spans="1:13" x14ac:dyDescent="0.3">
      <c r="A18" s="6" t="s">
        <v>37</v>
      </c>
      <c r="B18" s="6" t="s">
        <v>30</v>
      </c>
      <c r="C18" s="6" t="s">
        <v>23</v>
      </c>
      <c r="D18" s="6">
        <v>7</v>
      </c>
      <c r="E18" s="6">
        <v>8</v>
      </c>
      <c r="F18" s="7">
        <v>0</v>
      </c>
      <c r="G18" s="6">
        <f t="shared" si="0"/>
        <v>0</v>
      </c>
      <c r="H18" s="6">
        <f t="shared" si="1"/>
        <v>0</v>
      </c>
      <c r="J18" t="s">
        <v>6</v>
      </c>
      <c r="K18">
        <f>E4</f>
        <v>18</v>
      </c>
      <c r="L18" t="s">
        <v>38</v>
      </c>
      <c r="M18">
        <f>B5</f>
        <v>18</v>
      </c>
    </row>
    <row r="19" spans="1:13" x14ac:dyDescent="0.3">
      <c r="A19" s="6" t="s">
        <v>39</v>
      </c>
      <c r="B19" s="6" t="s">
        <v>26</v>
      </c>
      <c r="C19" s="6" t="s">
        <v>28</v>
      </c>
      <c r="D19" s="6">
        <v>1</v>
      </c>
      <c r="E19" s="6">
        <v>2</v>
      </c>
      <c r="F19" s="7">
        <v>0</v>
      </c>
      <c r="G19" s="6">
        <f t="shared" si="0"/>
        <v>0</v>
      </c>
      <c r="H19" s="6">
        <f t="shared" si="1"/>
        <v>0</v>
      </c>
    </row>
    <row r="20" spans="1:13" x14ac:dyDescent="0.3">
      <c r="A20" s="6" t="s">
        <v>40</v>
      </c>
      <c r="B20" s="6" t="s">
        <v>28</v>
      </c>
      <c r="C20" s="6" t="s">
        <v>26</v>
      </c>
      <c r="D20" s="6">
        <v>1</v>
      </c>
      <c r="E20" s="6">
        <v>2</v>
      </c>
      <c r="F20" s="7">
        <v>0</v>
      </c>
      <c r="G20" s="6">
        <f t="shared" si="0"/>
        <v>0</v>
      </c>
      <c r="H20" s="6">
        <f t="shared" si="1"/>
        <v>0</v>
      </c>
      <c r="J20" s="2" t="s">
        <v>41</v>
      </c>
      <c r="K20" s="2" t="s">
        <v>17</v>
      </c>
    </row>
    <row r="21" spans="1:13" x14ac:dyDescent="0.3">
      <c r="A21" s="6" t="s">
        <v>42</v>
      </c>
      <c r="B21" s="6" t="s">
        <v>26</v>
      </c>
      <c r="C21" s="6" t="s">
        <v>30</v>
      </c>
      <c r="D21" s="6">
        <v>4</v>
      </c>
      <c r="E21" s="6">
        <v>7</v>
      </c>
      <c r="F21" s="7">
        <v>0</v>
      </c>
      <c r="G21" s="6">
        <f t="shared" si="0"/>
        <v>0</v>
      </c>
      <c r="H21" s="6">
        <f t="shared" si="1"/>
        <v>0</v>
      </c>
      <c r="J21">
        <v>1</v>
      </c>
      <c r="K21" t="str">
        <f>$B$3</f>
        <v>O</v>
      </c>
    </row>
    <row r="22" spans="1:13" x14ac:dyDescent="0.3">
      <c r="A22" s="6" t="s">
        <v>43</v>
      </c>
      <c r="B22" s="6" t="s">
        <v>30</v>
      </c>
      <c r="C22" s="6" t="s">
        <v>26</v>
      </c>
      <c r="D22" s="6">
        <v>4</v>
      </c>
      <c r="E22" s="6">
        <v>7</v>
      </c>
      <c r="F22" s="7">
        <v>0</v>
      </c>
      <c r="G22" s="6">
        <f t="shared" si="0"/>
        <v>0</v>
      </c>
      <c r="H22" s="6">
        <f t="shared" si="1"/>
        <v>0</v>
      </c>
      <c r="J22">
        <v>2</v>
      </c>
      <c r="K22" t="str">
        <f t="shared" ref="K22:K27" si="6">IF(OR(K21="",K21=$B$4),"",IFERROR(INDEX($C$9:$C$32,MATCH(1,INDEX(($B$9:$B$32=K21)*($F$9:$F$32&gt;0.5),0),0)),""))</f>
        <v>A</v>
      </c>
    </row>
    <row r="23" spans="1:13" x14ac:dyDescent="0.3">
      <c r="A23" s="6" t="s">
        <v>44</v>
      </c>
      <c r="B23" s="6" t="s">
        <v>26</v>
      </c>
      <c r="C23" s="6" t="s">
        <v>32</v>
      </c>
      <c r="D23" s="6">
        <v>3</v>
      </c>
      <c r="E23" s="6">
        <v>4</v>
      </c>
      <c r="F23" s="7">
        <v>0</v>
      </c>
      <c r="G23" s="6">
        <f t="shared" si="0"/>
        <v>0</v>
      </c>
      <c r="H23" s="6">
        <f t="shared" si="1"/>
        <v>0</v>
      </c>
      <c r="J23">
        <v>3</v>
      </c>
      <c r="K23" t="str">
        <f t="shared" si="6"/>
        <v>D</v>
      </c>
    </row>
    <row r="24" spans="1:13" x14ac:dyDescent="0.3">
      <c r="A24" s="6" t="s">
        <v>45</v>
      </c>
      <c r="B24" s="6" t="s">
        <v>32</v>
      </c>
      <c r="C24" s="6" t="s">
        <v>26</v>
      </c>
      <c r="D24" s="6">
        <v>3</v>
      </c>
      <c r="E24" s="6">
        <v>4</v>
      </c>
      <c r="F24" s="7">
        <v>0</v>
      </c>
      <c r="G24" s="6">
        <f t="shared" si="0"/>
        <v>0</v>
      </c>
      <c r="H24" s="6">
        <f t="shared" si="1"/>
        <v>0</v>
      </c>
      <c r="J24">
        <v>4</v>
      </c>
      <c r="K24" t="str">
        <f t="shared" si="6"/>
        <v>T</v>
      </c>
    </row>
    <row r="25" spans="1:13" x14ac:dyDescent="0.3">
      <c r="A25" s="6" t="s">
        <v>46</v>
      </c>
      <c r="B25" s="6" t="s">
        <v>28</v>
      </c>
      <c r="C25" s="6" t="s">
        <v>32</v>
      </c>
      <c r="D25" s="6">
        <v>4</v>
      </c>
      <c r="E25" s="6">
        <v>5</v>
      </c>
      <c r="F25" s="7">
        <v>0</v>
      </c>
      <c r="G25" s="6">
        <f t="shared" si="0"/>
        <v>0</v>
      </c>
      <c r="H25" s="6">
        <f t="shared" si="1"/>
        <v>0</v>
      </c>
      <c r="J25">
        <v>5</v>
      </c>
      <c r="K25" t="str">
        <f t="shared" si="6"/>
        <v/>
      </c>
    </row>
    <row r="26" spans="1:13" x14ac:dyDescent="0.3">
      <c r="A26" s="6" t="s">
        <v>47</v>
      </c>
      <c r="B26" s="6" t="s">
        <v>32</v>
      </c>
      <c r="C26" s="6" t="s">
        <v>28</v>
      </c>
      <c r="D26" s="6">
        <v>4</v>
      </c>
      <c r="E26" s="6">
        <v>5</v>
      </c>
      <c r="F26" s="7">
        <v>0</v>
      </c>
      <c r="G26" s="6">
        <f t="shared" si="0"/>
        <v>0</v>
      </c>
      <c r="H26" s="6">
        <f t="shared" si="1"/>
        <v>0</v>
      </c>
      <c r="J26">
        <v>6</v>
      </c>
      <c r="K26" t="str">
        <f t="shared" si="6"/>
        <v/>
      </c>
    </row>
    <row r="27" spans="1:13" x14ac:dyDescent="0.3">
      <c r="A27" s="6" t="s">
        <v>48</v>
      </c>
      <c r="B27" s="6" t="s">
        <v>30</v>
      </c>
      <c r="C27" s="6" t="s">
        <v>32</v>
      </c>
      <c r="D27" s="6">
        <v>1</v>
      </c>
      <c r="E27" s="6">
        <v>2</v>
      </c>
      <c r="F27" s="7">
        <v>0</v>
      </c>
      <c r="G27" s="6">
        <f t="shared" si="0"/>
        <v>0</v>
      </c>
      <c r="H27" s="6">
        <f t="shared" si="1"/>
        <v>0</v>
      </c>
      <c r="J27">
        <v>7</v>
      </c>
      <c r="K27" t="str">
        <f t="shared" si="6"/>
        <v/>
      </c>
    </row>
    <row r="28" spans="1:13" x14ac:dyDescent="0.3">
      <c r="A28" s="6" t="s">
        <v>49</v>
      </c>
      <c r="B28" s="6" t="s">
        <v>32</v>
      </c>
      <c r="C28" s="6" t="s">
        <v>30</v>
      </c>
      <c r="D28" s="6">
        <v>1</v>
      </c>
      <c r="E28" s="6">
        <v>2</v>
      </c>
      <c r="F28" s="7">
        <v>0</v>
      </c>
      <c r="G28" s="6">
        <f t="shared" si="0"/>
        <v>0</v>
      </c>
      <c r="H28" s="6">
        <f t="shared" si="1"/>
        <v>0</v>
      </c>
    </row>
    <row r="29" spans="1:13" x14ac:dyDescent="0.3">
      <c r="A29" s="6" t="s">
        <v>50</v>
      </c>
      <c r="B29" s="6" t="s">
        <v>30</v>
      </c>
      <c r="C29" s="6" t="s">
        <v>5</v>
      </c>
      <c r="D29" s="6">
        <v>5</v>
      </c>
      <c r="E29" s="6">
        <v>6</v>
      </c>
      <c r="F29" s="7">
        <v>1</v>
      </c>
      <c r="G29" s="6">
        <f t="shared" si="0"/>
        <v>5</v>
      </c>
      <c r="H29" s="6">
        <f t="shared" si="1"/>
        <v>6</v>
      </c>
    </row>
    <row r="30" spans="1:13" x14ac:dyDescent="0.3">
      <c r="A30" s="6" t="s">
        <v>51</v>
      </c>
      <c r="B30" s="6" t="s">
        <v>5</v>
      </c>
      <c r="C30" s="6" t="s">
        <v>30</v>
      </c>
      <c r="D30" s="6">
        <v>5</v>
      </c>
      <c r="E30" s="6">
        <v>6</v>
      </c>
      <c r="F30" s="7">
        <v>0</v>
      </c>
      <c r="G30" s="6">
        <f t="shared" si="0"/>
        <v>0</v>
      </c>
      <c r="H30" s="6">
        <f t="shared" si="1"/>
        <v>0</v>
      </c>
    </row>
    <row r="31" spans="1:13" x14ac:dyDescent="0.3">
      <c r="A31" s="6" t="s">
        <v>52</v>
      </c>
      <c r="B31" s="6" t="s">
        <v>32</v>
      </c>
      <c r="C31" s="6" t="s">
        <v>5</v>
      </c>
      <c r="D31" s="6">
        <v>7</v>
      </c>
      <c r="E31" s="6">
        <v>8</v>
      </c>
      <c r="F31" s="7">
        <v>0</v>
      </c>
      <c r="G31" s="6">
        <f t="shared" si="0"/>
        <v>0</v>
      </c>
      <c r="H31" s="6">
        <f t="shared" si="1"/>
        <v>0</v>
      </c>
    </row>
    <row r="32" spans="1:13" x14ac:dyDescent="0.3">
      <c r="A32" s="6" t="s">
        <v>53</v>
      </c>
      <c r="B32" s="6" t="s">
        <v>5</v>
      </c>
      <c r="C32" s="6" t="s">
        <v>32</v>
      </c>
      <c r="D32" s="6">
        <v>7</v>
      </c>
      <c r="E32" s="6">
        <v>8</v>
      </c>
      <c r="F32" s="7">
        <v>0</v>
      </c>
      <c r="G32" s="6">
        <f t="shared" si="0"/>
        <v>0</v>
      </c>
      <c r="H32" s="6">
        <f t="shared" si="1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/>
  </sheetViews>
  <sheetFormatPr defaultRowHeight="14.4" x14ac:dyDescent="0.3"/>
  <cols>
    <col min="1" max="1" width="10" customWidth="1"/>
    <col min="2" max="2" width="14" customWidth="1"/>
    <col min="3" max="3" width="22" customWidth="1"/>
    <col min="4" max="4" width="18" customWidth="1"/>
    <col min="5" max="6" width="16" customWidth="1"/>
  </cols>
  <sheetData>
    <row r="1" spans="1:6" x14ac:dyDescent="0.3">
      <c r="A1" s="5" t="s">
        <v>54</v>
      </c>
      <c r="B1" s="5" t="s">
        <v>55</v>
      </c>
      <c r="C1" s="5" t="s">
        <v>56</v>
      </c>
      <c r="D1" s="5" t="s">
        <v>3</v>
      </c>
      <c r="E1" s="5" t="s">
        <v>6</v>
      </c>
      <c r="F1" s="5" t="s">
        <v>57</v>
      </c>
    </row>
    <row r="2" spans="1:6" x14ac:dyDescent="0.3">
      <c r="A2" s="8">
        <v>16</v>
      </c>
      <c r="B2" s="8" t="s">
        <v>58</v>
      </c>
      <c r="C2" s="8"/>
      <c r="D2" s="8"/>
      <c r="E2" s="8"/>
      <c r="F2" s="8" t="s">
        <v>59</v>
      </c>
    </row>
    <row r="3" spans="1:6" x14ac:dyDescent="0.3">
      <c r="A3" s="8">
        <v>17</v>
      </c>
      <c r="B3" s="8" t="s">
        <v>58</v>
      </c>
      <c r="C3" s="8"/>
      <c r="D3" s="8"/>
      <c r="E3" s="8"/>
      <c r="F3" s="8" t="s">
        <v>59</v>
      </c>
    </row>
    <row r="4" spans="1:6" x14ac:dyDescent="0.3">
      <c r="A4" s="8">
        <v>18</v>
      </c>
      <c r="B4" s="8" t="s">
        <v>60</v>
      </c>
      <c r="C4" s="8" t="s">
        <v>61</v>
      </c>
      <c r="D4" s="8">
        <v>14</v>
      </c>
      <c r="E4" s="8">
        <v>18</v>
      </c>
      <c r="F4" s="8" t="s">
        <v>62</v>
      </c>
    </row>
    <row r="5" spans="1:6" x14ac:dyDescent="0.3">
      <c r="A5" s="8">
        <v>19</v>
      </c>
      <c r="B5" s="8" t="s">
        <v>60</v>
      </c>
      <c r="C5" s="8" t="s">
        <v>63</v>
      </c>
      <c r="D5" s="8">
        <v>13</v>
      </c>
      <c r="E5" s="8">
        <v>19</v>
      </c>
      <c r="F5" s="8" t="s">
        <v>62</v>
      </c>
    </row>
    <row r="6" spans="1:6" x14ac:dyDescent="0.3">
      <c r="A6" s="8">
        <v>20</v>
      </c>
      <c r="B6" s="8" t="s">
        <v>60</v>
      </c>
      <c r="C6" s="8" t="s">
        <v>63</v>
      </c>
      <c r="D6" s="8">
        <v>13</v>
      </c>
      <c r="E6" s="8">
        <v>19</v>
      </c>
      <c r="F6" s="8" t="s">
        <v>59</v>
      </c>
    </row>
    <row r="7" spans="1:6" x14ac:dyDescent="0.3">
      <c r="A7" s="8">
        <v>21</v>
      </c>
      <c r="B7" s="8" t="s">
        <v>60</v>
      </c>
      <c r="C7" s="8" t="s">
        <v>63</v>
      </c>
      <c r="D7" s="8">
        <v>13</v>
      </c>
      <c r="E7" s="8">
        <v>19</v>
      </c>
      <c r="F7" s="8" t="s">
        <v>59</v>
      </c>
    </row>
    <row r="8" spans="1:6" x14ac:dyDescent="0.3">
      <c r="A8" s="8">
        <v>22</v>
      </c>
      <c r="B8" s="8" t="s">
        <v>60</v>
      </c>
      <c r="C8" s="8" t="s">
        <v>63</v>
      </c>
      <c r="D8" s="8">
        <v>13</v>
      </c>
      <c r="E8" s="8">
        <v>19</v>
      </c>
      <c r="F8" s="8" t="s">
        <v>59</v>
      </c>
    </row>
    <row r="9" spans="1:6" x14ac:dyDescent="0.3">
      <c r="A9" s="8">
        <v>23</v>
      </c>
      <c r="B9" s="8" t="s">
        <v>60</v>
      </c>
      <c r="C9" s="8" t="s">
        <v>63</v>
      </c>
      <c r="D9" s="8">
        <v>13</v>
      </c>
      <c r="E9" s="8">
        <v>19</v>
      </c>
      <c r="F9" s="8" t="s">
        <v>59</v>
      </c>
    </row>
    <row r="10" spans="1:6" x14ac:dyDescent="0.3">
      <c r="A10" s="8" t="s">
        <v>64</v>
      </c>
      <c r="B10" s="8" t="s">
        <v>60</v>
      </c>
      <c r="C10" s="8" t="s">
        <v>63</v>
      </c>
      <c r="D10" s="8">
        <v>13</v>
      </c>
      <c r="E10" s="8">
        <v>19</v>
      </c>
      <c r="F10" s="8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RCSP</vt:lpstr>
      <vt:lpstr>Độ nhạy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Hoàng Ngọc Hân</cp:lastModifiedBy>
  <dcterms:created xsi:type="dcterms:W3CDTF">2026-10-18T12:41:45Z</dcterms:created>
  <dcterms:modified xsi:type="dcterms:W3CDTF">2026-10-18T12:42:32Z</dcterms:modified>
</cp:coreProperties>
</file>